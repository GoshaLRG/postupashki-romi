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нструкция" sheetId="1" state="visible" r:id="rId3"/>
    <sheet name="Размещения" sheetId="2" state="visible" r:id="rId4"/>
    <sheet name="Публикации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<sst xmlns="http://schemas.openxmlformats.org/spreadsheetml/2006/main" count="49" uniqueCount="47">
  <si>
    <t xml:space="preserve">Операционный календарь Поступашек</t>
  </si>
  <si>
    <t xml:space="preserve">Зачем это нужно</t>
  </si>
  <si>
    <t xml:space="preserve">Сейчас запуски, скидки и рекламные размещения нигде не фиксируются.</t>
  </si>
  <si>
    <t xml:space="preserve">Через месяц никто не помнит, что было 5 сентября — а именно в этот день</t>
  </si>
  <si>
    <t xml:space="preserve">продажи выросли в 2,6 раза. Восстановить источник задним числом невозможно.</t>
  </si>
  <si>
    <t xml:space="preserve">Лист «Размещения» — внешняя реклама</t>
  </si>
  <si>
    <t xml:space="preserve">Заполняется ДО публикации. Пять полей: канал, кампания, номер размещения,</t>
  </si>
  <si>
    <t xml:space="preserve">номер креатива, формат. Плюс два обязательных: время публикации и стоимость.</t>
  </si>
  <si>
    <t xml:space="preserve">Файл сам соберёт placement_id и ссылку — её и отдаём в рекламный пост.</t>
  </si>
  <si>
    <t xml:space="preserve">Правило: без времени публикации и стоимости размещение помечается</t>
  </si>
  <si>
    <t xml:space="preserve">«НЕИЗМЕРИМО». ROMI по нему не считается. Это не придирка: без этих</t>
  </si>
  <si>
    <t xml:space="preserve">двух чисел формула ROMI не имеет знаменателя.</t>
  </si>
  <si>
    <t xml:space="preserve">Лист «Публикации» — свой канал</t>
  </si>
  <si>
    <t xml:space="preserve">Каждый продающий пост, скидка, нативный материал и запуск. Ровно это</t>
  </si>
  <si>
    <t xml:space="preserve">позволяет отличить «продажи выросли из-за рекламы» от «выросли из-за</t>
  </si>
  <si>
    <t xml:space="preserve">своего поста со скидкой».</t>
  </si>
  <si>
    <t xml:space="preserve">Куда дальше</t>
  </si>
  <si>
    <t xml:space="preserve">Файл — временное решение на первый месяц. Дальше его содержимое</t>
  </si>
  <si>
    <t xml:space="preserve">переезжает в таблицу ad_registry системы трекинга: структура полей</t>
  </si>
  <si>
    <t xml:space="preserve">совпадает один в один, переносится выгрузкой CSV.</t>
  </si>
  <si>
    <t xml:space="preserve">Канал (id)</t>
  </si>
  <si>
    <t xml:space="preserve">Название канала</t>
  </si>
  <si>
    <t xml:space="preserve">Кампания</t>
  </si>
  <si>
    <t xml:space="preserve">№ размещения</t>
  </si>
  <si>
    <t xml:space="preserve">№ креатива</t>
  </si>
  <si>
    <t xml:space="preserve">Формат</t>
  </si>
  <si>
    <t xml:space="preserve">Дата и время публикации</t>
  </si>
  <si>
    <t xml:space="preserve">Стоимость, руб.</t>
  </si>
  <si>
    <t xml:space="preserve">placement_id</t>
  </si>
  <si>
    <t xml:space="preserve">Ссылка для рекламного поста</t>
  </si>
  <si>
    <t xml:space="preserve">Статус</t>
  </si>
  <si>
    <t xml:space="preserve">c01</t>
  </si>
  <si>
    <t xml:space="preserve">Физтех лайф</t>
  </si>
  <si>
    <t xml:space="preserve">launch_sep</t>
  </si>
  <si>
    <t xml:space="preserve">пост</t>
  </si>
  <si>
    <t xml:space="preserve">2026-09-04 12:00</t>
  </si>
  <si>
    <t xml:space="preserve">Жёлтые ячейки заполняются руками, серые считаются автоматически. Строка 2 — пример, её можно перезаписать.</t>
  </si>
  <si>
    <t xml:space="preserve">Дата и время</t>
  </si>
  <si>
    <t xml:space="preserve">Тип публикации</t>
  </si>
  <si>
    <t xml:space="preserve">Заголовок / о чём</t>
  </si>
  <si>
    <t xml:space="preserve">Скидка, %</t>
  </si>
  <si>
    <t xml:space="preserve">Запуск нового курса</t>
  </si>
  <si>
    <t xml:space="preserve">2026-09-05 10:00</t>
  </si>
  <si>
    <t xml:space="preserve">sale</t>
  </si>
  <si>
    <t xml:space="preserve">Старт осеннего потока</t>
  </si>
  <si>
    <t xml:space="preserve">нет</t>
  </si>
  <si>
    <t xml:space="preserve">sale — распродажа · discount — точечная скидка · native — нативный контент · content — обучающий пост · launch — запуск курса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</si>
</sst>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2761"/>
      <name val="Arial"/>
      <family val="0"/>
      <charset val="1"/>
    </font>
    <font>
      <sz val="10"/>
      <color rgb="FF1D2B36"/>
      <name val="Arial"/>
      <family val="0"/>
      <charset val="1"/>
    </font>
    <font>
      <b val="true"/>
      <sz val="11"/>
      <color rgb="FF1E276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B7A8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2761"/>
        <bgColor rgb="FF1D2B36"/>
      </patternFill>
    </fill>
    <fill>
      <patternFill patternType="solid">
        <fgColor rgb="FFFFF7D6"/>
        <bgColor rgb="FFEEF3F5"/>
      </patternFill>
    </fill>
    <fill>
      <patternFill patternType="solid">
        <fgColor rgb="FFEEF3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8"/>
      </left>
      <right style="thin">
        <color rgb="FFC9D2D8"/>
      </right>
      <top style="thin">
        <color rgb="FFC9D2D8"/>
      </top>
      <bottom style="thin">
        <color rgb="FFC9D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8B1A2B"/>
        <sz val="10"/>
      </font>
      <fill>
        <patternFill>
          <bgColor rgb="FFFBD5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B7A86"/>
      <rgbColor rgb="FF9999FF"/>
      <rgbColor rgb="FF993366"/>
      <rgbColor rgb="FFFFF7D6"/>
      <rgbColor rgb="FFEEF3F5"/>
      <rgbColor rgb="FF660066"/>
      <rgbColor rgb="FFFF8080"/>
      <rgbColor rgb="FF0066CC"/>
      <rgbColor rgb="FFC9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D5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8B1A2B"/>
      <rgbColor rgb="FF993366"/>
      <rgbColor rgb="FF333399"/>
      <rgbColor rgb="FF1D2B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12</v>
      </c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3" t="s">
        <v>16</v>
      </c>
    </row>
    <row r="23" customFormat="false" ht="15" hidden="false" customHeight="false" outlineLevel="0" collapsed="false">
      <c r="A23" s="2" t="s">
        <v>17</v>
      </c>
    </row>
    <row r="24" customFormat="false" ht="15" hidden="false" customHeight="false" outlineLevel="0" collapsed="false">
      <c r="A24" s="2" t="s">
        <v>18</v>
      </c>
    </row>
    <row r="25" customFormat="false" ht="15" hidden="false" customHeight="false" outlineLevel="0" collapsed="false">
      <c r="A25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7" min="7" style="0" width="24"/>
    <col collapsed="false" customWidth="true" hidden="false" outlineLevel="0" max="8" min="8" style="0" width="16"/>
    <col collapsed="false" customWidth="true" hidden="false" outlineLevel="0" max="9" min="9" style="0" width="20"/>
    <col collapsed="false" customWidth="true" hidden="false" outlineLevel="0" max="10" min="10" style="0" width="42"/>
    <col collapsed="false" customWidth="true" hidden="false" outlineLevel="0" max="11" min="11" style="0" width="16"/>
  </cols>
  <sheetData>
    <row r="1" customFormat="false" ht="31.5" hidden="false" customHeight="true" outlineLevel="0" collapsed="false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  <c r="J1" s="4" t="s">
        <v>29</v>
      </c>
      <c r="K1" s="4" t="s">
        <v>30</v>
      </c>
    </row>
    <row r="2" customFormat="false" ht="15" hidden="false" customHeight="false" outlineLevel="0" collapsed="false">
      <c r="A2" s="5" t="s">
        <v>31</v>
      </c>
      <c r="B2" s="5" t="s">
        <v>32</v>
      </c>
      <c r="C2" s="5" t="s">
        <v>33</v>
      </c>
      <c r="D2" s="5" t="n">
        <v>1</v>
      </c>
      <c r="E2" s="5" t="n">
        <v>1</v>
      </c>
      <c r="F2" s="5" t="s">
        <v>34</v>
      </c>
      <c r="G2" s="5" t="s">
        <v>35</v>
      </c>
      <c r="H2" s="5" t="n">
        <v>18000</v>
      </c>
      <c r="I2" s="6" t="str">
        <f aca="false">IF($A2="","",$A2&amp;"_p"&amp;TEXT($D2,"00")&amp;"_cr"&amp;$E2)</f>
        <v>c01_p01_cr1</v>
      </c>
      <c r="J2" s="6" t="str">
        <f aca="false">IF($I2="","","https://t.me/PostupashkiBot?start="&amp;$I2)</f>
        <v>https://t.me/PostupashkiBot?start=c01_p01_cr1</v>
      </c>
      <c r="K2" s="6" t="str">
        <f aca="false">IF($A2="","",IF(OR($G2="",$H2=""),"НЕИЗМЕРИМО","готово"))</f>
        <v>готово</v>
      </c>
    </row>
    <row r="3" customFormat="false" ht="15" hidden="false" customHeight="false" outlineLevel="0" collapsed="false">
      <c r="A3" s="5"/>
      <c r="B3" s="5"/>
      <c r="C3" s="5"/>
      <c r="D3" s="5"/>
      <c r="E3" s="5"/>
      <c r="F3" s="5"/>
      <c r="G3" s="5"/>
      <c r="H3" s="5"/>
      <c r="I3" s="6" t="str">
        <f aca="false">IF($A3="","",$A3&amp;"_p"&amp;TEXT($D3,"00")&amp;"_cr"&amp;$E3)</f>
        <v/>
      </c>
      <c r="J3" s="6" t="str">
        <f aca="false">IF($I3="","","https://t.me/PostupashkiBot?start="&amp;$I3)</f>
        <v/>
      </c>
      <c r="K3" s="6" t="str">
        <f aca="false">IF($A3="","",IF(OR($G3="",$H3=""),"НЕИЗМЕРИМО","готово"))</f>
        <v/>
      </c>
    </row>
    <row r="4" customFormat="false" ht="15" hidden="false" customHeight="false" outlineLevel="0" collapsed="false">
      <c r="A4" s="5"/>
      <c r="B4" s="5"/>
      <c r="C4" s="5"/>
      <c r="D4" s="5"/>
      <c r="E4" s="5"/>
      <c r="F4" s="5"/>
      <c r="G4" s="5"/>
      <c r="H4" s="5"/>
      <c r="I4" s="6" t="str">
        <f aca="false">IF($A4="","",$A4&amp;"_p"&amp;TEXT($D4,"00")&amp;"_cr"&amp;$E4)</f>
        <v/>
      </c>
      <c r="J4" s="6" t="str">
        <f aca="false">IF($I4="","","https://t.me/PostupashkiBot?start="&amp;$I4)</f>
        <v/>
      </c>
      <c r="K4" s="6" t="str">
        <f aca="false">IF($A4="","",IF(OR($G4="",$H4=""),"НЕИЗМЕРИМО","готово"))</f>
        <v/>
      </c>
    </row>
    <row r="5" customFormat="false" ht="15" hidden="false" customHeight="false" outlineLevel="0" collapsed="false">
      <c r="A5" s="5"/>
      <c r="B5" s="5"/>
      <c r="C5" s="5"/>
      <c r="D5" s="5"/>
      <c r="E5" s="5"/>
      <c r="F5" s="5"/>
      <c r="G5" s="5"/>
      <c r="H5" s="5"/>
      <c r="I5" s="6" t="str">
        <f aca="false">IF($A5="","",$A5&amp;"_p"&amp;TEXT($D5,"00")&amp;"_cr"&amp;$E5)</f>
        <v/>
      </c>
      <c r="J5" s="6" t="str">
        <f aca="false">IF($I5="","","https://t.me/PostupashkiBot?start="&amp;$I5)</f>
        <v/>
      </c>
      <c r="K5" s="6" t="str">
        <f aca="false">IF($A5="","",IF(OR($G5="",$H5=""),"НЕИЗМЕРИМО","готово"))</f>
        <v/>
      </c>
    </row>
    <row r="6" customFormat="false" ht="15" hidden="false" customHeight="false" outlineLevel="0" collapsed="false">
      <c r="A6" s="5"/>
      <c r="B6" s="5"/>
      <c r="C6" s="5"/>
      <c r="D6" s="5"/>
      <c r="E6" s="5"/>
      <c r="F6" s="5"/>
      <c r="G6" s="5"/>
      <c r="H6" s="5"/>
      <c r="I6" s="6" t="str">
        <f aca="false">IF($A6="","",$A6&amp;"_p"&amp;TEXT($D6,"00")&amp;"_cr"&amp;$E6)</f>
        <v/>
      </c>
      <c r="J6" s="6" t="str">
        <f aca="false">IF($I6="","","https://t.me/PostupashkiBot?start="&amp;$I6)</f>
        <v/>
      </c>
      <c r="K6" s="6" t="str">
        <f aca="false">IF($A6="","",IF(OR($G6="",$H6=""),"НЕИЗМЕРИМО","готово"))</f>
        <v/>
      </c>
    </row>
    <row r="7" customFormat="false" ht="15" hidden="false" customHeight="false" outlineLevel="0" collapsed="false">
      <c r="A7" s="5"/>
      <c r="B7" s="5"/>
      <c r="C7" s="5"/>
      <c r="D7" s="5"/>
      <c r="E7" s="5"/>
      <c r="F7" s="5"/>
      <c r="G7" s="5"/>
      <c r="H7" s="5"/>
      <c r="I7" s="6" t="str">
        <f aca="false">IF($A7="","",$A7&amp;"_p"&amp;TEXT($D7,"00")&amp;"_cr"&amp;$E7)</f>
        <v/>
      </c>
      <c r="J7" s="6" t="str">
        <f aca="false">IF($I7="","","https://t.me/PostupashkiBot?start="&amp;$I7)</f>
        <v/>
      </c>
      <c r="K7" s="6" t="str">
        <f aca="false">IF($A7="","",IF(OR($G7="",$H7=""),"НЕИЗМЕРИМО","готово"))</f>
        <v/>
      </c>
    </row>
    <row r="8" customFormat="false" ht="15" hidden="false" customHeight="false" outlineLevel="0" collapsed="false">
      <c r="A8" s="5"/>
      <c r="B8" s="5"/>
      <c r="C8" s="5"/>
      <c r="D8" s="5"/>
      <c r="E8" s="5"/>
      <c r="F8" s="5"/>
      <c r="G8" s="5"/>
      <c r="H8" s="5"/>
      <c r="I8" s="6" t="str">
        <f aca="false">IF($A8="","",$A8&amp;"_p"&amp;TEXT($D8,"00")&amp;"_cr"&amp;$E8)</f>
        <v/>
      </c>
      <c r="J8" s="6" t="str">
        <f aca="false">IF($I8="","","https://t.me/PostupashkiBot?start="&amp;$I8)</f>
        <v/>
      </c>
      <c r="K8" s="6" t="str">
        <f aca="false">IF($A8="","",IF(OR($G8="",$H8=""),"НЕИЗМЕРИМО","готово"))</f>
        <v/>
      </c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G9" s="5"/>
      <c r="H9" s="5"/>
      <c r="I9" s="6" t="str">
        <f aca="false">IF($A9="","",$A9&amp;"_p"&amp;TEXT($D9,"00")&amp;"_cr"&amp;$E9)</f>
        <v/>
      </c>
      <c r="J9" s="6" t="str">
        <f aca="false">IF($I9="","","https://t.me/PostupashkiBot?start="&amp;$I9)</f>
        <v/>
      </c>
      <c r="K9" s="6" t="str">
        <f aca="false">IF($A9="","",IF(OR($G9="",$H9=""),"НЕИЗМЕРИМО","готово"))</f>
        <v/>
      </c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5"/>
      <c r="H10" s="5"/>
      <c r="I10" s="6" t="str">
        <f aca="false">IF($A10="","",$A10&amp;"_p"&amp;TEXT($D10,"00")&amp;"_cr"&amp;$E10)</f>
        <v/>
      </c>
      <c r="J10" s="6" t="str">
        <f aca="false">IF($I10="","","https://t.me/PostupashkiBot?start="&amp;$I10)</f>
        <v/>
      </c>
      <c r="K10" s="6" t="str">
        <f aca="false">IF($A10="","",IF(OR($G10="",$H10=""),"НЕИЗМЕРИМО","готово"))</f>
        <v/>
      </c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  <c r="I11" s="6" t="str">
        <f aca="false">IF($A11="","",$A11&amp;"_p"&amp;TEXT($D11,"00")&amp;"_cr"&amp;$E11)</f>
        <v/>
      </c>
      <c r="J11" s="6" t="str">
        <f aca="false">IF($I11="","","https://t.me/PostupashkiBot?start="&amp;$I11)</f>
        <v/>
      </c>
      <c r="K11" s="6" t="str">
        <f aca="false">IF($A11="","",IF(OR($G11="",$H11=""),"НЕИЗМЕРИМО","готово"))</f>
        <v/>
      </c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5"/>
      <c r="H12" s="5"/>
      <c r="I12" s="6" t="str">
        <f aca="false">IF($A12="","",$A12&amp;"_p"&amp;TEXT($D12,"00")&amp;"_cr"&amp;$E12)</f>
        <v/>
      </c>
      <c r="J12" s="6" t="str">
        <f aca="false">IF($I12="","","https://t.me/PostupashkiBot?start="&amp;$I12)</f>
        <v/>
      </c>
      <c r="K12" s="6" t="str">
        <f aca="false">IF($A12="","",IF(OR($G12="",$H12=""),"НЕИЗМЕРИМО","готово"))</f>
        <v/>
      </c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  <c r="G13" s="5"/>
      <c r="H13" s="5"/>
      <c r="I13" s="6" t="str">
        <f aca="false">IF($A13="","",$A13&amp;"_p"&amp;TEXT($D13,"00")&amp;"_cr"&amp;$E13)</f>
        <v/>
      </c>
      <c r="J13" s="6" t="str">
        <f aca="false">IF($I13="","","https://t.me/PostupashkiBot?start="&amp;$I13)</f>
        <v/>
      </c>
      <c r="K13" s="6" t="str">
        <f aca="false">IF($A13="","",IF(OR($G13="",$H13=""),"НЕИЗМЕРИМО","готово"))</f>
        <v/>
      </c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5"/>
      <c r="H14" s="5"/>
      <c r="I14" s="6" t="str">
        <f aca="false">IF($A14="","",$A14&amp;"_p"&amp;TEXT($D14,"00")&amp;"_cr"&amp;$E14)</f>
        <v/>
      </c>
      <c r="J14" s="6" t="str">
        <f aca="false">IF($I14="","","https://t.me/PostupashkiBot?start="&amp;$I14)</f>
        <v/>
      </c>
      <c r="K14" s="6" t="str">
        <f aca="false">IF($A14="","",IF(OR($G14="",$H14=""),"НЕИЗМЕРИМО","готово"))</f>
        <v/>
      </c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  <c r="G15" s="5"/>
      <c r="H15" s="5"/>
      <c r="I15" s="6" t="str">
        <f aca="false">IF($A15="","",$A15&amp;"_p"&amp;TEXT($D15,"00")&amp;"_cr"&amp;$E15)</f>
        <v/>
      </c>
      <c r="J15" s="6" t="str">
        <f aca="false">IF($I15="","","https://t.me/PostupashkiBot?start="&amp;$I15)</f>
        <v/>
      </c>
      <c r="K15" s="6" t="str">
        <f aca="false">IF($A15="","",IF(OR($G15="",$H15=""),"НЕИЗМЕРИМО","готово"))</f>
        <v/>
      </c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5"/>
      <c r="H16" s="5"/>
      <c r="I16" s="6" t="str">
        <f aca="false">IF($A16="","",$A16&amp;"_p"&amp;TEXT($D16,"00")&amp;"_cr"&amp;$E16)</f>
        <v/>
      </c>
      <c r="J16" s="6" t="str">
        <f aca="false">IF($I16="","","https://t.me/PostupashkiBot?start="&amp;$I16)</f>
        <v/>
      </c>
      <c r="K16" s="6" t="str">
        <f aca="false">IF($A16="","",IF(OR($G16="",$H16=""),"НЕИЗМЕРИМО","готово"))</f>
        <v/>
      </c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  <c r="G17" s="5"/>
      <c r="H17" s="5"/>
      <c r="I17" s="6" t="str">
        <f aca="false">IF($A17="","",$A17&amp;"_p"&amp;TEXT($D17,"00")&amp;"_cr"&amp;$E17)</f>
        <v/>
      </c>
      <c r="J17" s="6" t="str">
        <f aca="false">IF($I17="","","https://t.me/PostupashkiBot?start="&amp;$I17)</f>
        <v/>
      </c>
      <c r="K17" s="6" t="str">
        <f aca="false">IF($A17="","",IF(OR($G17="",$H17=""),"НЕИЗМЕРИМО","готово"))</f>
        <v/>
      </c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5"/>
      <c r="H18" s="5"/>
      <c r="I18" s="6" t="str">
        <f aca="false">IF($A18="","",$A18&amp;"_p"&amp;TEXT($D18,"00")&amp;"_cr"&amp;$E18)</f>
        <v/>
      </c>
      <c r="J18" s="6" t="str">
        <f aca="false">IF($I18="","","https://t.me/PostupashkiBot?start="&amp;$I18)</f>
        <v/>
      </c>
      <c r="K18" s="6" t="str">
        <f aca="false">IF($A18="","",IF(OR($G18="",$H18=""),"НЕИЗМЕРИМО","готово"))</f>
        <v/>
      </c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5"/>
      <c r="H19" s="5"/>
      <c r="I19" s="6" t="str">
        <f aca="false">IF($A19="","",$A19&amp;"_p"&amp;TEXT($D19,"00")&amp;"_cr"&amp;$E19)</f>
        <v/>
      </c>
      <c r="J19" s="6" t="str">
        <f aca="false">IF($I19="","","https://t.me/PostupashkiBot?start="&amp;$I19)</f>
        <v/>
      </c>
      <c r="K19" s="6" t="str">
        <f aca="false">IF($A19="","",IF(OR($G19="",$H19=""),"НЕИЗМЕРИМО","готово"))</f>
        <v/>
      </c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  <c r="G20" s="5"/>
      <c r="H20" s="5"/>
      <c r="I20" s="6" t="str">
        <f aca="false">IF($A20="","",$A20&amp;"_p"&amp;TEXT($D20,"00")&amp;"_cr"&amp;$E20)</f>
        <v/>
      </c>
      <c r="J20" s="6" t="str">
        <f aca="false">IF($I20="","","https://t.me/PostupashkiBot?start="&amp;$I20)</f>
        <v/>
      </c>
      <c r="K20" s="6" t="str">
        <f aca="false">IF($A20="","",IF(OR($G20="",$H20=""),"НЕИЗМЕРИМО","готово"))</f>
        <v/>
      </c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  <c r="G21" s="5"/>
      <c r="H21" s="5"/>
      <c r="I21" s="6" t="str">
        <f aca="false">IF($A21="","",$A21&amp;"_p"&amp;TEXT($D21,"00")&amp;"_cr"&amp;$E21)</f>
        <v/>
      </c>
      <c r="J21" s="6" t="str">
        <f aca="false">IF($I21="","","https://t.me/PostupashkiBot?start="&amp;$I21)</f>
        <v/>
      </c>
      <c r="K21" s="6" t="str">
        <f aca="false">IF($A21="","",IF(OR($G21="",$H21=""),"НЕИЗМЕРИМО","готово"))</f>
        <v/>
      </c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  <c r="G22" s="5"/>
      <c r="H22" s="5"/>
      <c r="I22" s="6" t="str">
        <f aca="false">IF($A22="","",$A22&amp;"_p"&amp;TEXT($D22,"00")&amp;"_cr"&amp;$E22)</f>
        <v/>
      </c>
      <c r="J22" s="6" t="str">
        <f aca="false">IF($I22="","","https://t.me/PostupashkiBot?start="&amp;$I22)</f>
        <v/>
      </c>
      <c r="K22" s="6" t="str">
        <f aca="false">IF($A22="","",IF(OR($G22="",$H22=""),"НЕИЗМЕРИМО","готово"))</f>
        <v/>
      </c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  <c r="G23" s="5"/>
      <c r="H23" s="5"/>
      <c r="I23" s="6" t="str">
        <f aca="false">IF($A23="","",$A23&amp;"_p"&amp;TEXT($D23,"00")&amp;"_cr"&amp;$E23)</f>
        <v/>
      </c>
      <c r="J23" s="6" t="str">
        <f aca="false">IF($I23="","","https://t.me/PostupashkiBot?start="&amp;$I23)</f>
        <v/>
      </c>
      <c r="K23" s="6" t="str">
        <f aca="false">IF($A23="","",IF(OR($G23="",$H23=""),"НЕИЗМЕРИМО","готово"))</f>
        <v/>
      </c>
    </row>
    <row r="24" customFormat="false" ht="15" hidden="false" customHeight="false" outlineLevel="0" collapsed="false">
      <c r="A24" s="5"/>
      <c r="B24" s="5"/>
      <c r="C24" s="5"/>
      <c r="D24" s="5"/>
      <c r="E24" s="5"/>
      <c r="F24" s="5"/>
      <c r="G24" s="5"/>
      <c r="H24" s="5"/>
      <c r="I24" s="6" t="str">
        <f aca="false">IF($A24="","",$A24&amp;"_p"&amp;TEXT($D24,"00")&amp;"_cr"&amp;$E24)</f>
        <v/>
      </c>
      <c r="J24" s="6" t="str">
        <f aca="false">IF($I24="","","https://t.me/PostupashkiBot?start="&amp;$I24)</f>
        <v/>
      </c>
      <c r="K24" s="6" t="str">
        <f aca="false">IF($A24="","",IF(OR($G24="",$H24=""),"НЕИЗМЕРИМО","готово"))</f>
        <v/>
      </c>
    </row>
    <row r="25" customFormat="false" ht="15" hidden="false" customHeight="false" outlineLevel="0" collapsed="false">
      <c r="A25" s="5"/>
      <c r="B25" s="5"/>
      <c r="C25" s="5"/>
      <c r="D25" s="5"/>
      <c r="E25" s="5"/>
      <c r="F25" s="5"/>
      <c r="G25" s="5"/>
      <c r="H25" s="5"/>
      <c r="I25" s="6" t="str">
        <f aca="false">IF($A25="","",$A25&amp;"_p"&amp;TEXT($D25,"00")&amp;"_cr"&amp;$E25)</f>
        <v/>
      </c>
      <c r="J25" s="6" t="str">
        <f aca="false">IF($I25="","","https://t.me/PostupashkiBot?start="&amp;$I25)</f>
        <v/>
      </c>
      <c r="K25" s="6" t="str">
        <f aca="false">IF($A25="","",IF(OR($G25="",$H25=""),"НЕИЗМЕРИМО","готово"))</f>
        <v/>
      </c>
    </row>
    <row r="26" customFormat="false" ht="15" hidden="false" customHeight="false" outlineLevel="0" collapsed="false">
      <c r="A26" s="5"/>
      <c r="B26" s="5"/>
      <c r="C26" s="5"/>
      <c r="D26" s="5"/>
      <c r="E26" s="5"/>
      <c r="F26" s="5"/>
      <c r="G26" s="5"/>
      <c r="H26" s="5"/>
      <c r="I26" s="6" t="str">
        <f aca="false">IF($A26="","",$A26&amp;"_p"&amp;TEXT($D26,"00")&amp;"_cr"&amp;$E26)</f>
        <v/>
      </c>
      <c r="J26" s="6" t="str">
        <f aca="false">IF($I26="","","https://t.me/PostupashkiBot?start="&amp;$I26)</f>
        <v/>
      </c>
      <c r="K26" s="6" t="str">
        <f aca="false">IF($A26="","",IF(OR($G26="",$H26=""),"НЕИЗМЕРИМО","готово"))</f>
        <v/>
      </c>
    </row>
    <row r="27" customFormat="false" ht="15" hidden="false" customHeight="false" outlineLevel="0" collapsed="false">
      <c r="A27" s="5"/>
      <c r="B27" s="5"/>
      <c r="C27" s="5"/>
      <c r="D27" s="5"/>
      <c r="E27" s="5"/>
      <c r="F27" s="5"/>
      <c r="G27" s="5"/>
      <c r="H27" s="5"/>
      <c r="I27" s="6" t="str">
        <f aca="false">IF($A27="","",$A27&amp;"_p"&amp;TEXT($D27,"00")&amp;"_cr"&amp;$E27)</f>
        <v/>
      </c>
      <c r="J27" s="6" t="str">
        <f aca="false">IF($I27="","","https://t.me/PostupashkiBot?start="&amp;$I27)</f>
        <v/>
      </c>
      <c r="K27" s="6" t="str">
        <f aca="false">IF($A27="","",IF(OR($G27="",$H27=""),"НЕИЗМЕРИМО","готово"))</f>
        <v/>
      </c>
    </row>
    <row r="28" customFormat="false" ht="15" hidden="false" customHeight="false" outlineLevel="0" collapsed="false">
      <c r="A28" s="5"/>
      <c r="B28" s="5"/>
      <c r="C28" s="5"/>
      <c r="D28" s="5"/>
      <c r="E28" s="5"/>
      <c r="F28" s="5"/>
      <c r="G28" s="5"/>
      <c r="H28" s="5"/>
      <c r="I28" s="6" t="str">
        <f aca="false">IF($A28="","",$A28&amp;"_p"&amp;TEXT($D28,"00")&amp;"_cr"&amp;$E28)</f>
        <v/>
      </c>
      <c r="J28" s="6" t="str">
        <f aca="false">IF($I28="","","https://t.me/PostupashkiBot?start="&amp;$I28)</f>
        <v/>
      </c>
      <c r="K28" s="6" t="str">
        <f aca="false">IF($A28="","",IF(OR($G28="",$H28=""),"НЕИЗМЕРИМО","готово"))</f>
        <v/>
      </c>
    </row>
    <row r="29" customFormat="false" ht="15" hidden="false" customHeight="false" outlineLevel="0" collapsed="false">
      <c r="A29" s="5"/>
      <c r="B29" s="5"/>
      <c r="C29" s="5"/>
      <c r="D29" s="5"/>
      <c r="E29" s="5"/>
      <c r="F29" s="5"/>
      <c r="G29" s="5"/>
      <c r="H29" s="5"/>
      <c r="I29" s="6" t="str">
        <f aca="false">IF($A29="","",$A29&amp;"_p"&amp;TEXT($D29,"00")&amp;"_cr"&amp;$E29)</f>
        <v/>
      </c>
      <c r="J29" s="6" t="str">
        <f aca="false">IF($I29="","","https://t.me/PostupashkiBot?start="&amp;$I29)</f>
        <v/>
      </c>
      <c r="K29" s="6" t="str">
        <f aca="false">IF($A29="","",IF(OR($G29="",$H29=""),"НЕИЗМЕРИМО","готово"))</f>
        <v/>
      </c>
    </row>
    <row r="30" customFormat="false" ht="15" hidden="false" customHeight="false" outlineLevel="0" collapsed="false">
      <c r="A30" s="5"/>
      <c r="B30" s="5"/>
      <c r="C30" s="5"/>
      <c r="D30" s="5"/>
      <c r="E30" s="5"/>
      <c r="F30" s="5"/>
      <c r="G30" s="5"/>
      <c r="H30" s="5"/>
      <c r="I30" s="6" t="str">
        <f aca="false">IF($A30="","",$A30&amp;"_p"&amp;TEXT($D30,"00")&amp;"_cr"&amp;$E30)</f>
        <v/>
      </c>
      <c r="J30" s="6" t="str">
        <f aca="false">IF($I30="","","https://t.me/PostupashkiBot?start="&amp;$I30)</f>
        <v/>
      </c>
      <c r="K30" s="6" t="str">
        <f aca="false">IF($A30="","",IF(OR($G30="",$H30=""),"НЕИЗМЕРИМО","готово"))</f>
        <v/>
      </c>
    </row>
    <row r="31" customFormat="false" ht="15" hidden="false" customHeight="false" outlineLevel="0" collapsed="false">
      <c r="A31" s="5"/>
      <c r="B31" s="5"/>
      <c r="C31" s="5"/>
      <c r="D31" s="5"/>
      <c r="E31" s="5"/>
      <c r="F31" s="5"/>
      <c r="G31" s="5"/>
      <c r="H31" s="5"/>
      <c r="I31" s="6" t="str">
        <f aca="false">IF($A31="","",$A31&amp;"_p"&amp;TEXT($D31,"00")&amp;"_cr"&amp;$E31)</f>
        <v/>
      </c>
      <c r="J31" s="6" t="str">
        <f aca="false">IF($I31="","","https://t.me/PostupashkiBot?start="&amp;$I31)</f>
        <v/>
      </c>
      <c r="K31" s="6" t="str">
        <f aca="false">IF($A31="","",IF(OR($G31="",$H31=""),"НЕИЗМЕРИМО","готово"))</f>
        <v/>
      </c>
    </row>
    <row r="32" customFormat="false" ht="15" hidden="false" customHeight="false" outlineLevel="0" collapsed="false">
      <c r="A32" s="5"/>
      <c r="B32" s="5"/>
      <c r="C32" s="5"/>
      <c r="D32" s="5"/>
      <c r="E32" s="5"/>
      <c r="F32" s="5"/>
      <c r="G32" s="5"/>
      <c r="H32" s="5"/>
      <c r="I32" s="6" t="str">
        <f aca="false">IF($A32="","",$A32&amp;"_p"&amp;TEXT($D32,"00")&amp;"_cr"&amp;$E32)</f>
        <v/>
      </c>
      <c r="J32" s="6" t="str">
        <f aca="false">IF($I32="","","https://t.me/PostupashkiBot?start="&amp;$I32)</f>
        <v/>
      </c>
      <c r="K32" s="6" t="str">
        <f aca="false">IF($A32="","",IF(OR($G32="",$H32=""),"НЕИЗМЕРИМО","готово"))</f>
        <v/>
      </c>
    </row>
    <row r="33" customFormat="false" ht="15" hidden="false" customHeight="false" outlineLevel="0" collapsed="false">
      <c r="A33" s="5"/>
      <c r="B33" s="5"/>
      <c r="C33" s="5"/>
      <c r="D33" s="5"/>
      <c r="E33" s="5"/>
      <c r="F33" s="5"/>
      <c r="G33" s="5"/>
      <c r="H33" s="5"/>
      <c r="I33" s="6" t="str">
        <f aca="false">IF($A33="","",$A33&amp;"_p"&amp;TEXT($D33,"00")&amp;"_cr"&amp;$E33)</f>
        <v/>
      </c>
      <c r="J33" s="6" t="str">
        <f aca="false">IF($I33="","","https://t.me/PostupashkiBot?start="&amp;$I33)</f>
        <v/>
      </c>
      <c r="K33" s="6" t="str">
        <f aca="false">IF($A33="","",IF(OR($G33="",$H33=""),"НЕИЗМЕРИМО","готово"))</f>
        <v/>
      </c>
    </row>
    <row r="34" customFormat="false" ht="15" hidden="false" customHeight="false" outlineLevel="0" collapsed="false">
      <c r="A34" s="5"/>
      <c r="B34" s="5"/>
      <c r="C34" s="5"/>
      <c r="D34" s="5"/>
      <c r="E34" s="5"/>
      <c r="F34" s="5"/>
      <c r="G34" s="5"/>
      <c r="H34" s="5"/>
      <c r="I34" s="6" t="str">
        <f aca="false">IF($A34="","",$A34&amp;"_p"&amp;TEXT($D34,"00")&amp;"_cr"&amp;$E34)</f>
        <v/>
      </c>
      <c r="J34" s="6" t="str">
        <f aca="false">IF($I34="","","https://t.me/PostupashkiBot?start="&amp;$I34)</f>
        <v/>
      </c>
      <c r="K34" s="6" t="str">
        <f aca="false">IF($A34="","",IF(OR($G34="",$H34=""),"НЕИЗМЕРИМО","готово"))</f>
        <v/>
      </c>
    </row>
    <row r="35" customFormat="false" ht="15" hidden="false" customHeight="false" outlineLevel="0" collapsed="false">
      <c r="A35" s="5"/>
      <c r="B35" s="5"/>
      <c r="C35" s="5"/>
      <c r="D35" s="5"/>
      <c r="E35" s="5"/>
      <c r="F35" s="5"/>
      <c r="G35" s="5"/>
      <c r="H35" s="5"/>
      <c r="I35" s="6" t="str">
        <f aca="false">IF($A35="","",$A35&amp;"_p"&amp;TEXT($D35,"00")&amp;"_cr"&amp;$E35)</f>
        <v/>
      </c>
      <c r="J35" s="6" t="str">
        <f aca="false">IF($I35="","","https://t.me/PostupashkiBot?start="&amp;$I35)</f>
        <v/>
      </c>
      <c r="K35" s="6" t="str">
        <f aca="false">IF($A35="","",IF(OR($G35="",$H35=""),"НЕИЗМЕРИМО","готово"))</f>
        <v/>
      </c>
    </row>
    <row r="36" customFormat="false" ht="15" hidden="false" customHeight="false" outlineLevel="0" collapsed="false">
      <c r="A36" s="5"/>
      <c r="B36" s="5"/>
      <c r="C36" s="5"/>
      <c r="D36" s="5"/>
      <c r="E36" s="5"/>
      <c r="F36" s="5"/>
      <c r="G36" s="5"/>
      <c r="H36" s="5"/>
      <c r="I36" s="6" t="str">
        <f aca="false">IF($A36="","",$A36&amp;"_p"&amp;TEXT($D36,"00")&amp;"_cr"&amp;$E36)</f>
        <v/>
      </c>
      <c r="J36" s="6" t="str">
        <f aca="false">IF($I36="","","https://t.me/PostupashkiBot?start="&amp;$I36)</f>
        <v/>
      </c>
      <c r="K36" s="6" t="str">
        <f aca="false">IF($A36="","",IF(OR($G36="",$H36=""),"НЕИЗМЕРИМО","готово"))</f>
        <v/>
      </c>
    </row>
    <row r="37" customFormat="false" ht="15" hidden="false" customHeight="false" outlineLevel="0" collapsed="false">
      <c r="A37" s="5"/>
      <c r="B37" s="5"/>
      <c r="C37" s="5"/>
      <c r="D37" s="5"/>
      <c r="E37" s="5"/>
      <c r="F37" s="5"/>
      <c r="G37" s="5"/>
      <c r="H37" s="5"/>
      <c r="I37" s="6" t="str">
        <f aca="false">IF($A37="","",$A37&amp;"_p"&amp;TEXT($D37,"00")&amp;"_cr"&amp;$E37)</f>
        <v/>
      </c>
      <c r="J37" s="6" t="str">
        <f aca="false">IF($I37="","","https://t.me/PostupashkiBot?start="&amp;$I37)</f>
        <v/>
      </c>
      <c r="K37" s="6" t="str">
        <f aca="false">IF($A37="","",IF(OR($G37="",$H37=""),"НЕИЗМЕРИМО","готово"))</f>
        <v/>
      </c>
    </row>
    <row r="38" customFormat="false" ht="15" hidden="false" customHeight="false" outlineLevel="0" collapsed="false">
      <c r="A38" s="5"/>
      <c r="B38" s="5"/>
      <c r="C38" s="5"/>
      <c r="D38" s="5"/>
      <c r="E38" s="5"/>
      <c r="F38" s="5"/>
      <c r="G38" s="5"/>
      <c r="H38" s="5"/>
      <c r="I38" s="6" t="str">
        <f aca="false">IF($A38="","",$A38&amp;"_p"&amp;TEXT($D38,"00")&amp;"_cr"&amp;$E38)</f>
        <v/>
      </c>
      <c r="J38" s="6" t="str">
        <f aca="false">IF($I38="","","https://t.me/PostupashkiBot?start="&amp;$I38)</f>
        <v/>
      </c>
      <c r="K38" s="6" t="str">
        <f aca="false">IF($A38="","",IF(OR($G38="",$H38=""),"НЕИЗМЕРИМО","готово"))</f>
        <v/>
      </c>
    </row>
    <row r="39" customFormat="false" ht="15" hidden="false" customHeight="false" outlineLevel="0" collapsed="false">
      <c r="A39" s="5"/>
      <c r="B39" s="5"/>
      <c r="C39" s="5"/>
      <c r="D39" s="5"/>
      <c r="E39" s="5"/>
      <c r="F39" s="5"/>
      <c r="G39" s="5"/>
      <c r="H39" s="5"/>
      <c r="I39" s="6" t="str">
        <f aca="false">IF($A39="","",$A39&amp;"_p"&amp;TEXT($D39,"00")&amp;"_cr"&amp;$E39)</f>
        <v/>
      </c>
      <c r="J39" s="6" t="str">
        <f aca="false">IF($I39="","","https://t.me/PostupashkiBot?start="&amp;$I39)</f>
        <v/>
      </c>
      <c r="K39" s="6" t="str">
        <f aca="false">IF($A39="","",IF(OR($G39="",$H39=""),"НЕИЗМЕРИМО","готово"))</f>
        <v/>
      </c>
    </row>
    <row r="40" customFormat="false" ht="15" hidden="false" customHeight="false" outlineLevel="0" collapsed="false">
      <c r="A40" s="5"/>
      <c r="B40" s="5"/>
      <c r="C40" s="5"/>
      <c r="D40" s="5"/>
      <c r="E40" s="5"/>
      <c r="F40" s="5"/>
      <c r="G40" s="5"/>
      <c r="H40" s="5"/>
      <c r="I40" s="6" t="str">
        <f aca="false">IF($A40="","",$A40&amp;"_p"&amp;TEXT($D40,"00")&amp;"_cr"&amp;$E40)</f>
        <v/>
      </c>
      <c r="J40" s="6" t="str">
        <f aca="false">IF($I40="","","https://t.me/PostupashkiBot?start="&amp;$I40)</f>
        <v/>
      </c>
      <c r="K40" s="6" t="str">
        <f aca="false">IF($A40="","",IF(OR($G40="",$H40=""),"НЕИЗМЕРИМО","готово"))</f>
        <v/>
      </c>
    </row>
    <row r="41" customFormat="false" ht="15" hidden="false" customHeight="false" outlineLevel="0" collapsed="false">
      <c r="A41" s="5"/>
      <c r="B41" s="5"/>
      <c r="C41" s="5"/>
      <c r="D41" s="5"/>
      <c r="E41" s="5"/>
      <c r="F41" s="5"/>
      <c r="G41" s="5"/>
      <c r="H41" s="5"/>
      <c r="I41" s="6" t="str">
        <f aca="false">IF($A41="","",$A41&amp;"_p"&amp;TEXT($D41,"00")&amp;"_cr"&amp;$E41)</f>
        <v/>
      </c>
      <c r="J41" s="6" t="str">
        <f aca="false">IF($I41="","","https://t.me/PostupashkiBot?start="&amp;$I41)</f>
        <v/>
      </c>
      <c r="K41" s="6" t="str">
        <f aca="false">IF($A41="","",IF(OR($G41="",$H41=""),"НЕИЗМЕРИМО","готово"))</f>
        <v/>
      </c>
    </row>
    <row r="42" customFormat="false" ht="15" hidden="false" customHeight="false" outlineLevel="0" collapsed="false">
      <c r="A42" s="5"/>
      <c r="B42" s="5"/>
      <c r="C42" s="5"/>
      <c r="D42" s="5"/>
      <c r="E42" s="5"/>
      <c r="F42" s="5"/>
      <c r="G42" s="5"/>
      <c r="H42" s="5"/>
      <c r="I42" s="6" t="str">
        <f aca="false">IF($A42="","",$A42&amp;"_p"&amp;TEXT($D42,"00")&amp;"_cr"&amp;$E42)</f>
        <v/>
      </c>
      <c r="J42" s="6" t="str">
        <f aca="false">IF($I42="","","https://t.me/PostupashkiBot?start="&amp;$I42)</f>
        <v/>
      </c>
      <c r="K42" s="6" t="str">
        <f aca="false">IF($A42="","",IF(OR($G42="",$H42=""),"НЕИЗМЕРИМО","готово"))</f>
        <v/>
      </c>
    </row>
    <row r="43" customFormat="false" ht="15" hidden="false" customHeight="false" outlineLevel="0" collapsed="false">
      <c r="A43" s="5"/>
      <c r="B43" s="5"/>
      <c r="C43" s="5"/>
      <c r="D43" s="5"/>
      <c r="E43" s="5"/>
      <c r="F43" s="5"/>
      <c r="G43" s="5"/>
      <c r="H43" s="5"/>
      <c r="I43" s="6" t="str">
        <f aca="false">IF($A43="","",$A43&amp;"_p"&amp;TEXT($D43,"00")&amp;"_cr"&amp;$E43)</f>
        <v/>
      </c>
      <c r="J43" s="6" t="str">
        <f aca="false">IF($I43="","","https://t.me/PostupashkiBot?start="&amp;$I43)</f>
        <v/>
      </c>
      <c r="K43" s="6" t="str">
        <f aca="false">IF($A43="","",IF(OR($G43="",$H43=""),"НЕИЗМЕРИМО","готово"))</f>
        <v/>
      </c>
    </row>
    <row r="44" customFormat="false" ht="15" hidden="false" customHeight="false" outlineLevel="0" collapsed="false">
      <c r="A44" s="5"/>
      <c r="B44" s="5"/>
      <c r="C44" s="5"/>
      <c r="D44" s="5"/>
      <c r="E44" s="5"/>
      <c r="F44" s="5"/>
      <c r="G44" s="5"/>
      <c r="H44" s="5"/>
      <c r="I44" s="6" t="str">
        <f aca="false">IF($A44="","",$A44&amp;"_p"&amp;TEXT($D44,"00")&amp;"_cr"&amp;$E44)</f>
        <v/>
      </c>
      <c r="J44" s="6" t="str">
        <f aca="false">IF($I44="","","https://t.me/PostupashkiBot?start="&amp;$I44)</f>
        <v/>
      </c>
      <c r="K44" s="6" t="str">
        <f aca="false">IF($A44="","",IF(OR($G44="",$H44=""),"НЕИЗМЕРИМО","готово"))</f>
        <v/>
      </c>
    </row>
    <row r="45" customFormat="false" ht="15" hidden="false" customHeight="false" outlineLevel="0" collapsed="false">
      <c r="A45" s="5"/>
      <c r="B45" s="5"/>
      <c r="C45" s="5"/>
      <c r="D45" s="5"/>
      <c r="E45" s="5"/>
      <c r="F45" s="5"/>
      <c r="G45" s="5"/>
      <c r="H45" s="5"/>
      <c r="I45" s="6" t="str">
        <f aca="false">IF($A45="","",$A45&amp;"_p"&amp;TEXT($D45,"00")&amp;"_cr"&amp;$E45)</f>
        <v/>
      </c>
      <c r="J45" s="6" t="str">
        <f aca="false">IF($I45="","","https://t.me/PostupashkiBot?start="&amp;$I45)</f>
        <v/>
      </c>
      <c r="K45" s="6" t="str">
        <f aca="false">IF($A45="","",IF(OR($G45="",$H45=""),"НЕИЗМЕРИМО","готово"))</f>
        <v/>
      </c>
    </row>
    <row r="46" customFormat="false" ht="15" hidden="false" customHeight="false" outlineLevel="0" collapsed="false">
      <c r="A46" s="5"/>
      <c r="B46" s="5"/>
      <c r="C46" s="5"/>
      <c r="D46" s="5"/>
      <c r="E46" s="5"/>
      <c r="F46" s="5"/>
      <c r="G46" s="5"/>
      <c r="H46" s="5"/>
      <c r="I46" s="6" t="str">
        <f aca="false">IF($A46="","",$A46&amp;"_p"&amp;TEXT($D46,"00")&amp;"_cr"&amp;$E46)</f>
        <v/>
      </c>
      <c r="J46" s="6" t="str">
        <f aca="false">IF($I46="","","https://t.me/PostupashkiBot?start="&amp;$I46)</f>
        <v/>
      </c>
      <c r="K46" s="6" t="str">
        <f aca="false">IF($A46="","",IF(OR($G46="",$H46=""),"НЕИЗМЕРИМО","готово"))</f>
        <v/>
      </c>
    </row>
    <row r="47" customFormat="false" ht="15" hidden="false" customHeight="false" outlineLevel="0" collapsed="false">
      <c r="A47" s="5"/>
      <c r="B47" s="5"/>
      <c r="C47" s="5"/>
      <c r="D47" s="5"/>
      <c r="E47" s="5"/>
      <c r="F47" s="5"/>
      <c r="G47" s="5"/>
      <c r="H47" s="5"/>
      <c r="I47" s="6" t="str">
        <f aca="false">IF($A47="","",$A47&amp;"_p"&amp;TEXT($D47,"00")&amp;"_cr"&amp;$E47)</f>
        <v/>
      </c>
      <c r="J47" s="6" t="str">
        <f aca="false">IF($I47="","","https://t.me/PostupashkiBot?start="&amp;$I47)</f>
        <v/>
      </c>
      <c r="K47" s="6" t="str">
        <f aca="false">IF($A47="","",IF(OR($G47="",$H47=""),"НЕИЗМЕРИМО","готово"))</f>
        <v/>
      </c>
    </row>
    <row r="48" customFormat="false" ht="15" hidden="false" customHeight="false" outlineLevel="0" collapsed="false">
      <c r="A48" s="5"/>
      <c r="B48" s="5"/>
      <c r="C48" s="5"/>
      <c r="D48" s="5"/>
      <c r="E48" s="5"/>
      <c r="F48" s="5"/>
      <c r="G48" s="5"/>
      <c r="H48" s="5"/>
      <c r="I48" s="6" t="str">
        <f aca="false">IF($A48="","",$A48&amp;"_p"&amp;TEXT($D48,"00")&amp;"_cr"&amp;$E48)</f>
        <v/>
      </c>
      <c r="J48" s="6" t="str">
        <f aca="false">IF($I48="","","https://t.me/PostupashkiBot?start="&amp;$I48)</f>
        <v/>
      </c>
      <c r="K48" s="6" t="str">
        <f aca="false">IF($A48="","",IF(OR($G48="",$H48=""),"НЕИЗМЕРИМО","готово"))</f>
        <v/>
      </c>
    </row>
    <row r="49" customFormat="false" ht="15" hidden="false" customHeight="false" outlineLevel="0" collapsed="false">
      <c r="A49" s="5"/>
      <c r="B49" s="5"/>
      <c r="C49" s="5"/>
      <c r="D49" s="5"/>
      <c r="E49" s="5"/>
      <c r="F49" s="5"/>
      <c r="G49" s="5"/>
      <c r="H49" s="5"/>
      <c r="I49" s="6" t="str">
        <f aca="false">IF($A49="","",$A49&amp;"_p"&amp;TEXT($D49,"00")&amp;"_cr"&amp;$E49)</f>
        <v/>
      </c>
      <c r="J49" s="6" t="str">
        <f aca="false">IF($I49="","","https://t.me/PostupashkiBot?start="&amp;$I49)</f>
        <v/>
      </c>
      <c r="K49" s="6" t="str">
        <f aca="false">IF($A49="","",IF(OR($G49="",$H49=""),"НЕИЗМЕРИМО","готово"))</f>
        <v/>
      </c>
    </row>
    <row r="50" customFormat="false" ht="15" hidden="false" customHeight="false" outlineLevel="0" collapsed="false">
      <c r="A50" s="5"/>
      <c r="B50" s="5"/>
      <c r="C50" s="5"/>
      <c r="D50" s="5"/>
      <c r="E50" s="5"/>
      <c r="F50" s="5"/>
      <c r="G50" s="5"/>
      <c r="H50" s="5"/>
      <c r="I50" s="6" t="str">
        <f aca="false">IF($A50="","",$A50&amp;"_p"&amp;TEXT($D50,"00")&amp;"_cr"&amp;$E50)</f>
        <v/>
      </c>
      <c r="J50" s="6" t="str">
        <f aca="false">IF($I50="","","https://t.me/PostupashkiBot?start="&amp;$I50)</f>
        <v/>
      </c>
      <c r="K50" s="6" t="str">
        <f aca="false">IF($A50="","",IF(OR($G50="",$H50=""),"НЕИЗМЕРИМО","готово"))</f>
        <v/>
      </c>
    </row>
    <row r="51" customFormat="false" ht="15" hidden="false" customHeight="false" outlineLevel="0" collapsed="false">
      <c r="A51" s="5"/>
      <c r="B51" s="5"/>
      <c r="C51" s="5"/>
      <c r="D51" s="5"/>
      <c r="E51" s="5"/>
      <c r="F51" s="5"/>
      <c r="G51" s="5"/>
      <c r="H51" s="5"/>
      <c r="I51" s="6" t="str">
        <f aca="false">IF($A51="","",$A51&amp;"_p"&amp;TEXT($D51,"00")&amp;"_cr"&amp;$E51)</f>
        <v/>
      </c>
      <c r="J51" s="6" t="str">
        <f aca="false">IF($I51="","","https://t.me/PostupashkiBot?start="&amp;$I51)</f>
        <v/>
      </c>
      <c r="K51" s="6" t="str">
        <f aca="false">IF($A51="","",IF(OR($G51="",$H51=""),"НЕИЗМЕРИМО","готово"))</f>
        <v/>
      </c>
    </row>
    <row r="52" customFormat="false" ht="15" hidden="false" customHeight="false" outlineLevel="0" collapsed="false">
      <c r="A52" s="5"/>
      <c r="B52" s="5"/>
      <c r="C52" s="5"/>
      <c r="D52" s="5"/>
      <c r="E52" s="5"/>
      <c r="F52" s="5"/>
      <c r="G52" s="5"/>
      <c r="H52" s="5"/>
      <c r="I52" s="6" t="str">
        <f aca="false">IF($A52="","",$A52&amp;"_p"&amp;TEXT($D52,"00")&amp;"_cr"&amp;$E52)</f>
        <v/>
      </c>
      <c r="J52" s="6" t="str">
        <f aca="false">IF($I52="","","https://t.me/PostupashkiBot?start="&amp;$I52)</f>
        <v/>
      </c>
      <c r="K52" s="6" t="str">
        <f aca="false">IF($A52="","",IF(OR($G52="",$H52=""),"НЕИЗМЕРИМО","готово"))</f>
        <v/>
      </c>
    </row>
    <row r="53" customFormat="false" ht="15" hidden="false" customHeight="false" outlineLevel="0" collapsed="false">
      <c r="A53" s="5"/>
      <c r="B53" s="5"/>
      <c r="C53" s="5"/>
      <c r="D53" s="5"/>
      <c r="E53" s="5"/>
      <c r="F53" s="5"/>
      <c r="G53" s="5"/>
      <c r="H53" s="5"/>
      <c r="I53" s="6" t="str">
        <f aca="false">IF($A53="","",$A53&amp;"_p"&amp;TEXT($D53,"00")&amp;"_cr"&amp;$E53)</f>
        <v/>
      </c>
      <c r="J53" s="6" t="str">
        <f aca="false">IF($I53="","","https://t.me/PostupashkiBot?start="&amp;$I53)</f>
        <v/>
      </c>
      <c r="K53" s="6" t="str">
        <f aca="false">IF($A53="","",IF(OR($G53="",$H53=""),"НЕИЗМЕРИМО","готово"))</f>
        <v/>
      </c>
    </row>
    <row r="54" customFormat="false" ht="15" hidden="false" customHeight="false" outlineLevel="0" collapsed="false">
      <c r="A54" s="5"/>
      <c r="B54" s="5"/>
      <c r="C54" s="5"/>
      <c r="D54" s="5"/>
      <c r="E54" s="5"/>
      <c r="F54" s="5"/>
      <c r="G54" s="5"/>
      <c r="H54" s="5"/>
      <c r="I54" s="6" t="str">
        <f aca="false">IF($A54="","",$A54&amp;"_p"&amp;TEXT($D54,"00")&amp;"_cr"&amp;$E54)</f>
        <v/>
      </c>
      <c r="J54" s="6" t="str">
        <f aca="false">IF($I54="","","https://t.me/PostupashkiBot?start="&amp;$I54)</f>
        <v/>
      </c>
      <c r="K54" s="6" t="str">
        <f aca="false">IF($A54="","",IF(OR($G54="",$H54=""),"НЕИЗМЕРИМО","готово"))</f>
        <v/>
      </c>
    </row>
    <row r="55" customFormat="false" ht="15" hidden="false" customHeight="false" outlineLevel="0" collapsed="false">
      <c r="A55" s="5"/>
      <c r="B55" s="5"/>
      <c r="C55" s="5"/>
      <c r="D55" s="5"/>
      <c r="E55" s="5"/>
      <c r="F55" s="5"/>
      <c r="G55" s="5"/>
      <c r="H55" s="5"/>
      <c r="I55" s="6" t="str">
        <f aca="false">IF($A55="","",$A55&amp;"_p"&amp;TEXT($D55,"00")&amp;"_cr"&amp;$E55)</f>
        <v/>
      </c>
      <c r="J55" s="6" t="str">
        <f aca="false">IF($I55="","","https://t.me/PostupashkiBot?start="&amp;$I55)</f>
        <v/>
      </c>
      <c r="K55" s="6" t="str">
        <f aca="false">IF($A55="","",IF(OR($G55="",$H55=""),"НЕИЗМЕРИМО","готово"))</f>
        <v/>
      </c>
    </row>
    <row r="56" customFormat="false" ht="15" hidden="false" customHeight="false" outlineLevel="0" collapsed="false">
      <c r="A56" s="5"/>
      <c r="B56" s="5"/>
      <c r="C56" s="5"/>
      <c r="D56" s="5"/>
      <c r="E56" s="5"/>
      <c r="F56" s="5"/>
      <c r="G56" s="5"/>
      <c r="H56" s="5"/>
      <c r="I56" s="6" t="str">
        <f aca="false">IF($A56="","",$A56&amp;"_p"&amp;TEXT($D56,"00")&amp;"_cr"&amp;$E56)</f>
        <v/>
      </c>
      <c r="J56" s="6" t="str">
        <f aca="false">IF($I56="","","https://t.me/PostupashkiBot?start="&amp;$I56)</f>
        <v/>
      </c>
      <c r="K56" s="6" t="str">
        <f aca="false">IF($A56="","",IF(OR($G56="",$H56=""),"НЕИЗМЕРИМО","готово"))</f>
        <v/>
      </c>
    </row>
    <row r="57" customFormat="false" ht="15" hidden="false" customHeight="false" outlineLevel="0" collapsed="false">
      <c r="A57" s="5"/>
      <c r="B57" s="5"/>
      <c r="C57" s="5"/>
      <c r="D57" s="5"/>
      <c r="E57" s="5"/>
      <c r="F57" s="5"/>
      <c r="G57" s="5"/>
      <c r="H57" s="5"/>
      <c r="I57" s="6" t="str">
        <f aca="false">IF($A57="","",$A57&amp;"_p"&amp;TEXT($D57,"00")&amp;"_cr"&amp;$E57)</f>
        <v/>
      </c>
      <c r="J57" s="6" t="str">
        <f aca="false">IF($I57="","","https://t.me/PostupashkiBot?start="&amp;$I57)</f>
        <v/>
      </c>
      <c r="K57" s="6" t="str">
        <f aca="false">IF($A57="","",IF(OR($G57="",$H57=""),"НЕИЗМЕРИМО","готово"))</f>
        <v/>
      </c>
    </row>
    <row r="58" customFormat="false" ht="15" hidden="false" customHeight="false" outlineLevel="0" collapsed="false">
      <c r="A58" s="5"/>
      <c r="B58" s="5"/>
      <c r="C58" s="5"/>
      <c r="D58" s="5"/>
      <c r="E58" s="5"/>
      <c r="F58" s="5"/>
      <c r="G58" s="5"/>
      <c r="H58" s="5"/>
      <c r="I58" s="6" t="str">
        <f aca="false">IF($A58="","",$A58&amp;"_p"&amp;TEXT($D58,"00")&amp;"_cr"&amp;$E58)</f>
        <v/>
      </c>
      <c r="J58" s="6" t="str">
        <f aca="false">IF($I58="","","https://t.me/PostupashkiBot?start="&amp;$I58)</f>
        <v/>
      </c>
      <c r="K58" s="6" t="str">
        <f aca="false">IF($A58="","",IF(OR($G58="",$H58=""),"НЕИЗМЕРИМО","готово"))</f>
        <v/>
      </c>
    </row>
    <row r="59" customFormat="false" ht="15" hidden="false" customHeight="false" outlineLevel="0" collapsed="false">
      <c r="A59" s="5"/>
      <c r="B59" s="5"/>
      <c r="C59" s="5"/>
      <c r="D59" s="5"/>
      <c r="E59" s="5"/>
      <c r="F59" s="5"/>
      <c r="G59" s="5"/>
      <c r="H59" s="5"/>
      <c r="I59" s="6" t="str">
        <f aca="false">IF($A59="","",$A59&amp;"_p"&amp;TEXT($D59,"00")&amp;"_cr"&amp;$E59)</f>
        <v/>
      </c>
      <c r="J59" s="6" t="str">
        <f aca="false">IF($I59="","","https://t.me/PostupashkiBot?start="&amp;$I59)</f>
        <v/>
      </c>
      <c r="K59" s="6" t="str">
        <f aca="false">IF($A59="","",IF(OR($G59="",$H59=""),"НЕИЗМЕРИМО","готово"))</f>
        <v/>
      </c>
    </row>
    <row r="60" customFormat="false" ht="15" hidden="false" customHeight="false" outlineLevel="0" collapsed="false">
      <c r="A60" s="5"/>
      <c r="B60" s="5"/>
      <c r="C60" s="5"/>
      <c r="D60" s="5"/>
      <c r="E60" s="5"/>
      <c r="F60" s="5"/>
      <c r="G60" s="5"/>
      <c r="H60" s="5"/>
      <c r="I60" s="6" t="str">
        <f aca="false">IF($A60="","",$A60&amp;"_p"&amp;TEXT($D60,"00")&amp;"_cr"&amp;$E60)</f>
        <v/>
      </c>
      <c r="J60" s="6" t="str">
        <f aca="false">IF($I60="","","https://t.me/PostupashkiBot?start="&amp;$I60)</f>
        <v/>
      </c>
      <c r="K60" s="6" t="str">
        <f aca="false">IF($A60="","",IF(OR($G60="",$H60=""),"НЕИЗМЕРИМО","готово"))</f>
        <v/>
      </c>
    </row>
    <row r="62" customFormat="false" ht="15" hidden="false" customHeight="false" outlineLevel="0" collapsed="false">
      <c r="A62" s="7" t="s">
        <v>36</v>
      </c>
    </row>
  </sheetData>
  <conditionalFormatting sqref="K2:K60">
    <cfRule type="expression" priority="2" aboveAverage="0" equalAverage="0" bottom="0" percent="0" rank="0" text="" dxfId="0">
      <formula>$K2="НЕИЗМЕРИМО"</formula>
    </cfRule>
  </conditionalFormatting>
  <dataValidations count="2">
    <dataValidation allowBlank="true" errorStyle="stop" operator="between" showDropDown="false" showErrorMessage="false" showInputMessage="false" sqref="F2:F60" type="list">
      <formula1>"пост,репост,нативная интеграция,кружок,сторис,подборка"</formula1>
      <formula2>0</formula2>
    </dataValidation>
    <dataValidation allowBlank="true" errorStyle="stop" operator="greaterThanOrEqual" prompt="Сколько заплатили за этот слот, в рублях. Без этого поля ROMI не считается." promptTitle="Стоимость размещения" showDropDown="false" showErrorMessage="false" showInputMessage="true" sqref="H2:H60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38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20"/>
  </cols>
  <sheetData>
    <row r="1" customFormat="false" ht="31.5" hidden="false" customHeight="true" outlineLevel="0" collapsed="false">
      <c r="A1" s="4" t="s">
        <v>37</v>
      </c>
      <c r="B1" s="4" t="s">
        <v>38</v>
      </c>
      <c r="C1" s="4" t="s">
        <v>39</v>
      </c>
      <c r="D1" s="4" t="s">
        <v>40</v>
      </c>
      <c r="E1" s="4" t="s">
        <v>22</v>
      </c>
      <c r="F1" s="4" t="s">
        <v>41</v>
      </c>
    </row>
    <row r="2" customFormat="false" ht="15" hidden="false" customHeight="false" outlineLevel="0" collapsed="false">
      <c r="A2" s="5" t="s">
        <v>42</v>
      </c>
      <c r="B2" s="5" t="s">
        <v>43</v>
      </c>
      <c r="C2" s="5" t="s">
        <v>44</v>
      </c>
      <c r="D2" s="5" t="n">
        <v>30</v>
      </c>
      <c r="E2" s="5" t="s">
        <v>33</v>
      </c>
      <c r="F2" s="5" t="s">
        <v>45</v>
      </c>
    </row>
    <row r="3" customFormat="false" ht="15" hidden="false" customHeight="false" outlineLevel="0" collapsed="false">
      <c r="A3" s="5"/>
      <c r="B3" s="5"/>
      <c r="C3" s="5"/>
      <c r="D3" s="5"/>
      <c r="E3" s="5"/>
      <c r="F3" s="5"/>
    </row>
    <row r="4" customFormat="false" ht="15" hidden="false" customHeight="false" outlineLevel="0" collapsed="false">
      <c r="A4" s="5"/>
      <c r="B4" s="5"/>
      <c r="C4" s="5"/>
      <c r="D4" s="5"/>
      <c r="E4" s="5"/>
      <c r="F4" s="5"/>
    </row>
    <row r="5" customFormat="false" ht="15" hidden="false" customHeight="false" outlineLevel="0" collapsed="false">
      <c r="A5" s="5"/>
      <c r="B5" s="5"/>
      <c r="C5" s="5"/>
      <c r="D5" s="5"/>
      <c r="E5" s="5"/>
      <c r="F5" s="5"/>
    </row>
    <row r="6" customFormat="false" ht="15" hidden="false" customHeight="false" outlineLevel="0" collapsed="false">
      <c r="A6" s="5"/>
      <c r="B6" s="5"/>
      <c r="C6" s="5"/>
      <c r="D6" s="5"/>
      <c r="E6" s="5"/>
      <c r="F6" s="5"/>
    </row>
    <row r="7" customFormat="false" ht="15" hidden="false" customHeight="false" outlineLevel="0" collapsed="false">
      <c r="A7" s="5"/>
      <c r="B7" s="5"/>
      <c r="C7" s="5"/>
      <c r="D7" s="5"/>
      <c r="E7" s="5"/>
      <c r="F7" s="5"/>
    </row>
    <row r="8" customFormat="false" ht="15" hidden="false" customHeight="false" outlineLevel="0" collapsed="false">
      <c r="A8" s="5"/>
      <c r="B8" s="5"/>
      <c r="C8" s="5"/>
      <c r="D8" s="5"/>
      <c r="E8" s="5"/>
      <c r="F8" s="5"/>
    </row>
    <row r="9" customFormat="false" ht="15" hidden="false" customHeight="false" outlineLevel="0" collapsed="false">
      <c r="A9" s="5"/>
      <c r="B9" s="5"/>
      <c r="C9" s="5"/>
      <c r="D9" s="5"/>
      <c r="E9" s="5"/>
      <c r="F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</row>
    <row r="24" customFormat="false" ht="15" hidden="false" customHeight="false" outlineLevel="0" collapsed="false">
      <c r="A24" s="5"/>
      <c r="B24" s="5"/>
      <c r="C24" s="5"/>
      <c r="D24" s="5"/>
      <c r="E24" s="5"/>
      <c r="F24" s="5"/>
    </row>
    <row r="25" customFormat="false" ht="15" hidden="false" customHeight="false" outlineLevel="0" collapsed="false">
      <c r="A25" s="5"/>
      <c r="B25" s="5"/>
      <c r="C25" s="5"/>
      <c r="D25" s="5"/>
      <c r="E25" s="5"/>
      <c r="F25" s="5"/>
    </row>
    <row r="26" customFormat="false" ht="15" hidden="false" customHeight="false" outlineLevel="0" collapsed="false">
      <c r="A26" s="5"/>
      <c r="B26" s="5"/>
      <c r="C26" s="5"/>
      <c r="D26" s="5"/>
      <c r="E26" s="5"/>
      <c r="F26" s="5"/>
    </row>
    <row r="27" customFormat="false" ht="15" hidden="false" customHeight="false" outlineLevel="0" collapsed="false">
      <c r="A27" s="5"/>
      <c r="B27" s="5"/>
      <c r="C27" s="5"/>
      <c r="D27" s="5"/>
      <c r="E27" s="5"/>
      <c r="F27" s="5"/>
    </row>
    <row r="28" customFormat="false" ht="15" hidden="false" customHeight="false" outlineLevel="0" collapsed="false">
      <c r="A28" s="5"/>
      <c r="B28" s="5"/>
      <c r="C28" s="5"/>
      <c r="D28" s="5"/>
      <c r="E28" s="5"/>
      <c r="F28" s="5"/>
    </row>
    <row r="29" customFormat="false" ht="15" hidden="false" customHeight="false" outlineLevel="0" collapsed="false">
      <c r="A29" s="5"/>
      <c r="B29" s="5"/>
      <c r="C29" s="5"/>
      <c r="D29" s="5"/>
      <c r="E29" s="5"/>
      <c r="F29" s="5"/>
    </row>
    <row r="30" customFormat="false" ht="15" hidden="false" customHeight="false" outlineLevel="0" collapsed="false">
      <c r="A30" s="5"/>
      <c r="B30" s="5"/>
      <c r="C30" s="5"/>
      <c r="D30" s="5"/>
      <c r="E30" s="5"/>
      <c r="F30" s="5"/>
    </row>
    <row r="31" customFormat="false" ht="15" hidden="false" customHeight="false" outlineLevel="0" collapsed="false">
      <c r="A31" s="5"/>
      <c r="B31" s="5"/>
      <c r="C31" s="5"/>
      <c r="D31" s="5"/>
      <c r="E31" s="5"/>
      <c r="F31" s="5"/>
    </row>
    <row r="32" customFormat="false" ht="15" hidden="false" customHeight="false" outlineLevel="0" collapsed="false">
      <c r="A32" s="5"/>
      <c r="B32" s="5"/>
      <c r="C32" s="5"/>
      <c r="D32" s="5"/>
      <c r="E32" s="5"/>
      <c r="F32" s="5"/>
    </row>
    <row r="33" customFormat="false" ht="15" hidden="false" customHeight="false" outlineLevel="0" collapsed="false">
      <c r="A33" s="5"/>
      <c r="B33" s="5"/>
      <c r="C33" s="5"/>
      <c r="D33" s="5"/>
      <c r="E33" s="5"/>
      <c r="F33" s="5"/>
    </row>
    <row r="34" customFormat="false" ht="15" hidden="false" customHeight="false" outlineLevel="0" collapsed="false">
      <c r="A34" s="5"/>
      <c r="B34" s="5"/>
      <c r="C34" s="5"/>
      <c r="D34" s="5"/>
      <c r="E34" s="5"/>
      <c r="F34" s="5"/>
    </row>
    <row r="35" customFormat="false" ht="15" hidden="false" customHeight="false" outlineLevel="0" collapsed="false">
      <c r="A35" s="5"/>
      <c r="B35" s="5"/>
      <c r="C35" s="5"/>
      <c r="D35" s="5"/>
      <c r="E35" s="5"/>
      <c r="F35" s="5"/>
    </row>
    <row r="36" customFormat="false" ht="15" hidden="false" customHeight="false" outlineLevel="0" collapsed="false">
      <c r="A36" s="5"/>
      <c r="B36" s="5"/>
      <c r="C36" s="5"/>
      <c r="D36" s="5"/>
      <c r="E36" s="5"/>
      <c r="F36" s="5"/>
    </row>
    <row r="37" customFormat="false" ht="15" hidden="false" customHeight="false" outlineLevel="0" collapsed="false">
      <c r="A37" s="5"/>
      <c r="B37" s="5"/>
      <c r="C37" s="5"/>
      <c r="D37" s="5"/>
      <c r="E37" s="5"/>
      <c r="F37" s="5"/>
    </row>
    <row r="38" customFormat="false" ht="15" hidden="false" customHeight="false" outlineLevel="0" collapsed="false">
      <c r="A38" s="5"/>
      <c r="B38" s="5"/>
      <c r="C38" s="5"/>
      <c r="D38" s="5"/>
      <c r="E38" s="5"/>
      <c r="F38" s="5"/>
    </row>
    <row r="39" customFormat="false" ht="15" hidden="false" customHeight="false" outlineLevel="0" collapsed="false">
      <c r="A39" s="5"/>
      <c r="B39" s="5"/>
      <c r="C39" s="5"/>
      <c r="D39" s="5"/>
      <c r="E39" s="5"/>
      <c r="F39" s="5"/>
    </row>
    <row r="40" customFormat="false" ht="15" hidden="false" customHeight="false" outlineLevel="0" collapsed="false">
      <c r="A40" s="5"/>
      <c r="B40" s="5"/>
      <c r="C40" s="5"/>
      <c r="D40" s="5"/>
      <c r="E40" s="5"/>
      <c r="F40" s="5"/>
    </row>
    <row r="41" customFormat="false" ht="15" hidden="false" customHeight="false" outlineLevel="0" collapsed="false">
      <c r="A41" s="5"/>
      <c r="B41" s="5"/>
      <c r="C41" s="5"/>
      <c r="D41" s="5"/>
      <c r="E41" s="5"/>
      <c r="F41" s="5"/>
    </row>
    <row r="42" customFormat="false" ht="15" hidden="false" customHeight="false" outlineLevel="0" collapsed="false">
      <c r="A42" s="5"/>
      <c r="B42" s="5"/>
      <c r="C42" s="5"/>
      <c r="D42" s="5"/>
      <c r="E42" s="5"/>
      <c r="F42" s="5"/>
    </row>
    <row r="43" customFormat="false" ht="15" hidden="false" customHeight="false" outlineLevel="0" collapsed="false">
      <c r="A43" s="5"/>
      <c r="B43" s="5"/>
      <c r="C43" s="5"/>
      <c r="D43" s="5"/>
      <c r="E43" s="5"/>
      <c r="F43" s="5"/>
    </row>
    <row r="44" customFormat="false" ht="15" hidden="false" customHeight="false" outlineLevel="0" collapsed="false">
      <c r="A44" s="5"/>
      <c r="B44" s="5"/>
      <c r="C44" s="5"/>
      <c r="D44" s="5"/>
      <c r="E44" s="5"/>
      <c r="F44" s="5"/>
    </row>
    <row r="45" customFormat="false" ht="15" hidden="false" customHeight="false" outlineLevel="0" collapsed="false">
      <c r="A45" s="5"/>
      <c r="B45" s="5"/>
      <c r="C45" s="5"/>
      <c r="D45" s="5"/>
      <c r="E45" s="5"/>
      <c r="F45" s="5"/>
    </row>
    <row r="46" customFormat="false" ht="15" hidden="false" customHeight="false" outlineLevel="0" collapsed="false">
      <c r="A46" s="5"/>
      <c r="B46" s="5"/>
      <c r="C46" s="5"/>
      <c r="D46" s="5"/>
      <c r="E46" s="5"/>
      <c r="F46" s="5"/>
    </row>
    <row r="47" customFormat="false" ht="15" hidden="false" customHeight="false" outlineLevel="0" collapsed="false">
      <c r="A47" s="5"/>
      <c r="B47" s="5"/>
      <c r="C47" s="5"/>
      <c r="D47" s="5"/>
      <c r="E47" s="5"/>
      <c r="F47" s="5"/>
    </row>
    <row r="48" customFormat="false" ht="15" hidden="false" customHeight="false" outlineLevel="0" collapsed="false">
      <c r="A48" s="5"/>
      <c r="B48" s="5"/>
      <c r="C48" s="5"/>
      <c r="D48" s="5"/>
      <c r="E48" s="5"/>
      <c r="F48" s="5"/>
    </row>
    <row r="49" customFormat="false" ht="15" hidden="false" customHeight="false" outlineLevel="0" collapsed="false">
      <c r="A49" s="5"/>
      <c r="B49" s="5"/>
      <c r="C49" s="5"/>
      <c r="D49" s="5"/>
      <c r="E49" s="5"/>
      <c r="F49" s="5"/>
    </row>
    <row r="50" customFormat="false" ht="15" hidden="false" customHeight="false" outlineLevel="0" collapsed="false">
      <c r="A50" s="5"/>
      <c r="B50" s="5"/>
      <c r="C50" s="5"/>
      <c r="D50" s="5"/>
      <c r="E50" s="5"/>
      <c r="F50" s="5"/>
    </row>
    <row r="51" customFormat="false" ht="15" hidden="false" customHeight="false" outlineLevel="0" collapsed="false">
      <c r="A51" s="5"/>
      <c r="B51" s="5"/>
      <c r="C51" s="5"/>
      <c r="D51" s="5"/>
      <c r="E51" s="5"/>
      <c r="F51" s="5"/>
    </row>
    <row r="52" customFormat="false" ht="15" hidden="false" customHeight="false" outlineLevel="0" collapsed="false">
      <c r="A52" s="5"/>
      <c r="B52" s="5"/>
      <c r="C52" s="5"/>
      <c r="D52" s="5"/>
      <c r="E52" s="5"/>
      <c r="F52" s="5"/>
    </row>
    <row r="53" customFormat="false" ht="15" hidden="false" customHeight="false" outlineLevel="0" collapsed="false">
      <c r="A53" s="5"/>
      <c r="B53" s="5"/>
      <c r="C53" s="5"/>
      <c r="D53" s="5"/>
      <c r="E53" s="5"/>
      <c r="F53" s="5"/>
    </row>
    <row r="54" customFormat="false" ht="15" hidden="false" customHeight="false" outlineLevel="0" collapsed="false">
      <c r="A54" s="5"/>
      <c r="B54" s="5"/>
      <c r="C54" s="5"/>
      <c r="D54" s="5"/>
      <c r="E54" s="5"/>
      <c r="F54" s="5"/>
    </row>
    <row r="55" customFormat="false" ht="15" hidden="false" customHeight="false" outlineLevel="0" collapsed="false">
      <c r="A55" s="5"/>
      <c r="B55" s="5"/>
      <c r="C55" s="5"/>
      <c r="D55" s="5"/>
      <c r="E55" s="5"/>
      <c r="F55" s="5"/>
    </row>
    <row r="56" customFormat="false" ht="15" hidden="false" customHeight="false" outlineLevel="0" collapsed="false">
      <c r="A56" s="5"/>
      <c r="B56" s="5"/>
      <c r="C56" s="5"/>
      <c r="D56" s="5"/>
      <c r="E56" s="5"/>
      <c r="F56" s="5"/>
    </row>
    <row r="57" customFormat="false" ht="15" hidden="false" customHeight="false" outlineLevel="0" collapsed="false">
      <c r="A57" s="5"/>
      <c r="B57" s="5"/>
      <c r="C57" s="5"/>
      <c r="D57" s="5"/>
      <c r="E57" s="5"/>
      <c r="F57" s="5"/>
    </row>
    <row r="58" customFormat="false" ht="15" hidden="false" customHeight="false" outlineLevel="0" collapsed="false">
      <c r="A58" s="5"/>
      <c r="B58" s="5"/>
      <c r="C58" s="5"/>
      <c r="D58" s="5"/>
      <c r="E58" s="5"/>
      <c r="F58" s="5"/>
    </row>
    <row r="59" customFormat="false" ht="15" hidden="false" customHeight="false" outlineLevel="0" collapsed="false">
      <c r="A59" s="5"/>
      <c r="B59" s="5"/>
      <c r="C59" s="5"/>
      <c r="D59" s="5"/>
      <c r="E59" s="5"/>
      <c r="F59" s="5"/>
    </row>
    <row r="60" customFormat="false" ht="15" hidden="false" customHeight="false" outlineLevel="0" collapsed="false">
      <c r="A60" s="5"/>
      <c r="B60" s="5"/>
      <c r="C60" s="5"/>
      <c r="D60" s="5"/>
      <c r="E60" s="5"/>
      <c r="F60" s="5"/>
    </row>
    <row r="62" customFormat="false" ht="15" hidden="false" customHeight="false" outlineLevel="0" collapsed="false">
      <c r="A62" s="7" t="s">
        <v>46</v>
      </c>
    </row>
  </sheetData>
  <dataValidations count="2">
    <dataValidation allowBlank="true" errorStyle="stop" operator="between" showDropDown="false" showErrorMessage="false" showInputMessage="false" sqref="B2:B60" type="list">
      <formula1>"sale,discount,native,content,launch"</formula1>
      <formula2>0</formula2>
    </dataValidation>
    <dataValidation allowBlank="true" errorStyle="stop" operator="between" showDropDown="false" showErrorMessage="false" showInputMessage="false" sqref="F2:F60" type="list">
      <formula1>"да,нет"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2026-09-12T15:50:40Z</dcterms:created>
  <dc:creator>openpyxl</dc:creator>
  <dc:description/>
  <dc:language>en-US</dc:language>
  <cp:lastModifiedBy/>
  <dcterms:modified xsi:type="dcterms:W3CDTF">2026-09-12T15:50:40Z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